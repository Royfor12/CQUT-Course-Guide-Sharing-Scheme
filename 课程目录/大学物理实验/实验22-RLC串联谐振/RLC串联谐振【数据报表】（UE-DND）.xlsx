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Github Repos\CQUT-Course-Guide-Sharing-Scheme\课程目录\大学物理实验\实验22-RLC串联谐振\"/>
    </mc:Choice>
  </mc:AlternateContent>
  <xr:revisionPtr revIDLastSave="0" documentId="13_ncr:1_{7A2ADE9B-6070-49A1-91DA-B59E1B39066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D32" i="1"/>
  <c r="E32" i="1"/>
  <c r="F32" i="1"/>
  <c r="G32" i="1"/>
  <c r="H32" i="1"/>
  <c r="I32" i="1"/>
  <c r="C32" i="1"/>
  <c r="E24" i="1"/>
  <c r="I28" i="1"/>
  <c r="C25" i="1"/>
  <c r="D24" i="1"/>
  <c r="F24" i="1"/>
  <c r="G24" i="1"/>
  <c r="H24" i="1"/>
  <c r="I24" i="1"/>
  <c r="C24" i="1"/>
  <c r="I20" i="1"/>
  <c r="C16" i="1"/>
  <c r="C17" i="1"/>
  <c r="C9" i="1"/>
  <c r="D16" i="1"/>
  <c r="E16" i="1"/>
  <c r="F16" i="1"/>
  <c r="G16" i="1"/>
  <c r="H16" i="1"/>
  <c r="I16" i="1"/>
  <c r="I4" i="1"/>
  <c r="I12" i="1"/>
  <c r="D8" i="1"/>
  <c r="E8" i="1"/>
  <c r="F8" i="1"/>
  <c r="G8" i="1"/>
  <c r="H8" i="1"/>
  <c r="I8" i="1"/>
  <c r="C8" i="1"/>
</calcChain>
</file>

<file path=xl/sharedStrings.xml><?xml version="1.0" encoding="utf-8"?>
<sst xmlns="http://schemas.openxmlformats.org/spreadsheetml/2006/main" count="62" uniqueCount="17">
  <si>
    <t>处是需要填充的实验数据，剩下的会根据已知数据自动计算</t>
    <phoneticPr fontId="0" type="noConversion"/>
  </si>
  <si>
    <t>处数据含有公式，尽量不要改动</t>
    <phoneticPr fontId="0" type="noConversion"/>
  </si>
  <si>
    <t>R/Ω</t>
  </si>
  <si>
    <t>L/H</t>
  </si>
  <si>
    <t>C/F</t>
  </si>
  <si>
    <t>f0理论</t>
  </si>
  <si>
    <t>f0-3Δ</t>
  </si>
  <si>
    <t>f0-2Δ</t>
  </si>
  <si>
    <t>f0-Δ</t>
  </si>
  <si>
    <t>f0</t>
  </si>
  <si>
    <t>f0+Δ</t>
  </si>
  <si>
    <t>f0+2Δ</t>
  </si>
  <si>
    <t>f0+3Δ</t>
  </si>
  <si>
    <t>f/Hz</t>
  </si>
  <si>
    <r>
      <t>U</t>
    </r>
    <r>
      <rPr>
        <sz val="8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/V</t>
    </r>
  </si>
  <si>
    <t>I/A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</si>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</sst>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0"/>
  </numFmts>
  <fonts count="7" x14ac:knownFonts="1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8"/>
      <color theme="1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Border="1"/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5" borderId="18" xfId="0" applyNumberFormat="1" applyFill="1" applyBorder="1" applyAlignment="1">
      <alignment horizontal="center" vertical="center"/>
    </xf>
    <xf numFmtId="165" fontId="0" fillId="5" borderId="19" xfId="0" applyNumberForma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5" borderId="20" xfId="0" applyFill="1" applyBorder="1" applyAlignment="1">
      <alignment horizontal="center" vertical="center"/>
    </xf>
    <xf numFmtId="165" fontId="0" fillId="5" borderId="2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RLC</a:t>
            </a:r>
            <a:r>
              <a:rPr lang="zh-CN" altLang="en-US" sz="1400" b="1" i="0" u="none" strike="noStrike" baseline="0">
                <a:effectLst/>
              </a:rPr>
              <a:t>串联电路幅频特性曲线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表1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Sheet1!$C$6:$I$6</c:f>
              <c:numCache>
                <c:formatCode>General</c:formatCode>
                <c:ptCount val="7"/>
                <c:pt idx="0">
                  <c:v>1314</c:v>
                </c:pt>
                <c:pt idx="1">
                  <c:v>1414</c:v>
                </c:pt>
                <c:pt idx="2">
                  <c:v>1514</c:v>
                </c:pt>
                <c:pt idx="3" formatCode="0">
                  <c:v>1614</c:v>
                </c:pt>
                <c:pt idx="4">
                  <c:v>1714</c:v>
                </c:pt>
                <c:pt idx="5">
                  <c:v>1814</c:v>
                </c:pt>
                <c:pt idx="6">
                  <c:v>1914</c:v>
                </c:pt>
              </c:numCache>
            </c:numRef>
          </c:xVal>
          <c:yVal>
            <c:numRef>
              <c:f>Sheet1!$C$7:$I$7</c:f>
              <c:numCache>
                <c:formatCode>0.00</c:formatCode>
                <c:ptCount val="7"/>
                <c:pt idx="0" formatCode="General">
                  <c:v>3.88</c:v>
                </c:pt>
                <c:pt idx="1">
                  <c:v>4</c:v>
                </c:pt>
                <c:pt idx="2" formatCode="General">
                  <c:v>4.08</c:v>
                </c:pt>
                <c:pt idx="3" formatCode="0.0">
                  <c:v>4.2</c:v>
                </c:pt>
                <c:pt idx="4" formatCode="General">
                  <c:v>4.08</c:v>
                </c:pt>
                <c:pt idx="5" formatCode="General">
                  <c:v>3.96</c:v>
                </c:pt>
                <c:pt idx="6" formatCode="General">
                  <c:v>3.84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BF-45AC-8EAF-86462A87A8E9}"/>
            </c:ext>
          </c:extLst>
        </c:ser>
        <c:ser>
          <c:idx val="1"/>
          <c:order val="1"/>
          <c:tx>
            <c:v>表2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Sheet1!$C$14:$I$14</c:f>
              <c:numCache>
                <c:formatCode>General</c:formatCode>
                <c:ptCount val="7"/>
                <c:pt idx="0">
                  <c:v>1533</c:v>
                </c:pt>
                <c:pt idx="1">
                  <c:v>1833</c:v>
                </c:pt>
                <c:pt idx="2">
                  <c:v>2133</c:v>
                </c:pt>
                <c:pt idx="3" formatCode="0">
                  <c:v>2433</c:v>
                </c:pt>
                <c:pt idx="4">
                  <c:v>2633</c:v>
                </c:pt>
                <c:pt idx="5">
                  <c:v>2833</c:v>
                </c:pt>
                <c:pt idx="6">
                  <c:v>3033</c:v>
                </c:pt>
              </c:numCache>
            </c:numRef>
          </c:xVal>
          <c:yVal>
            <c:numRef>
              <c:f>Sheet1!$C$15:$I$15</c:f>
              <c:numCache>
                <c:formatCode>0.00</c:formatCode>
                <c:ptCount val="7"/>
                <c:pt idx="0" formatCode="General">
                  <c:v>2.76</c:v>
                </c:pt>
                <c:pt idx="1">
                  <c:v>3.4</c:v>
                </c:pt>
                <c:pt idx="2" formatCode="General">
                  <c:v>3.88</c:v>
                </c:pt>
                <c:pt idx="3">
                  <c:v>3.96</c:v>
                </c:pt>
                <c:pt idx="4" formatCode="General">
                  <c:v>3.76</c:v>
                </c:pt>
                <c:pt idx="5" formatCode="General">
                  <c:v>3.64</c:v>
                </c:pt>
                <c:pt idx="6" formatCode="General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BF-45AC-8EAF-86462A87A8E9}"/>
            </c:ext>
          </c:extLst>
        </c:ser>
        <c:ser>
          <c:idx val="2"/>
          <c:order val="2"/>
          <c:tx>
            <c:v>表3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Sheet1!$C$22:$I$22</c:f>
              <c:numCache>
                <c:formatCode>General</c:formatCode>
                <c:ptCount val="7"/>
                <c:pt idx="0">
                  <c:v>1410</c:v>
                </c:pt>
                <c:pt idx="1">
                  <c:v>1710</c:v>
                </c:pt>
                <c:pt idx="2">
                  <c:v>2010</c:v>
                </c:pt>
                <c:pt idx="3" formatCode="0">
                  <c:v>2310</c:v>
                </c:pt>
                <c:pt idx="4">
                  <c:v>2610</c:v>
                </c:pt>
                <c:pt idx="5">
                  <c:v>2910</c:v>
                </c:pt>
                <c:pt idx="6">
                  <c:v>3210</c:v>
                </c:pt>
              </c:numCache>
            </c:numRef>
          </c:xVal>
          <c:yVal>
            <c:numRef>
              <c:f>Sheet1!$C$23:$I$23</c:f>
              <c:numCache>
                <c:formatCode>0.00</c:formatCode>
                <c:ptCount val="7"/>
                <c:pt idx="0" formatCode="General">
                  <c:v>3.8</c:v>
                </c:pt>
                <c:pt idx="1">
                  <c:v>4.2</c:v>
                </c:pt>
                <c:pt idx="2" formatCode="General">
                  <c:v>4.4000000000000004</c:v>
                </c:pt>
                <c:pt idx="3">
                  <c:v>4.4800000000000004</c:v>
                </c:pt>
                <c:pt idx="4" formatCode="General">
                  <c:v>4.4400000000000004</c:v>
                </c:pt>
                <c:pt idx="5" formatCode="General">
                  <c:v>4.32</c:v>
                </c:pt>
                <c:pt idx="6" formatCode="General">
                  <c:v>4.24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BF-45AC-8EAF-86462A87A8E9}"/>
            </c:ext>
          </c:extLst>
        </c:ser>
        <c:ser>
          <c:idx val="3"/>
          <c:order val="3"/>
          <c:tx>
            <c:v>表4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Sheet1!$C$30:$I$30</c:f>
              <c:numCache>
                <c:formatCode>General</c:formatCode>
                <c:ptCount val="7"/>
                <c:pt idx="0">
                  <c:v>992</c:v>
                </c:pt>
                <c:pt idx="1">
                  <c:v>1192</c:v>
                </c:pt>
                <c:pt idx="2">
                  <c:v>1392</c:v>
                </c:pt>
                <c:pt idx="3" formatCode="0">
                  <c:v>1592</c:v>
                </c:pt>
                <c:pt idx="4">
                  <c:v>1792</c:v>
                </c:pt>
                <c:pt idx="5">
                  <c:v>1992</c:v>
                </c:pt>
                <c:pt idx="6">
                  <c:v>2192</c:v>
                </c:pt>
              </c:numCache>
            </c:numRef>
          </c:xVal>
          <c:yVal>
            <c:numRef>
              <c:f>Sheet1!$C$31:$I$31</c:f>
              <c:numCache>
                <c:formatCode>0.00</c:formatCode>
                <c:ptCount val="7"/>
                <c:pt idx="0" formatCode="General">
                  <c:v>1.1200000000000001</c:v>
                </c:pt>
                <c:pt idx="1">
                  <c:v>1.62</c:v>
                </c:pt>
                <c:pt idx="2" formatCode="General">
                  <c:v>2.2599999999999998</c:v>
                </c:pt>
                <c:pt idx="3">
                  <c:v>2.2799999999999998</c:v>
                </c:pt>
                <c:pt idx="4" formatCode="General">
                  <c:v>1.98</c:v>
                </c:pt>
                <c:pt idx="5" formatCode="General">
                  <c:v>1.68</c:v>
                </c:pt>
                <c:pt idx="6" formatCode="General">
                  <c:v>1.34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BF-45AC-8EAF-86462A87A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078479"/>
        <c:axId val="1299077039"/>
      </c:scatterChart>
      <c:valAx>
        <c:axId val="129907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1" i="0" u="none" strike="noStrike" baseline="0">
                    <a:effectLst/>
                  </a:rPr>
                  <a:t>电阻电压 </a:t>
                </a:r>
                <a:r>
                  <a:rPr lang="en-US" sz="1000" b="1" i="0" u="none" strike="noStrike" baseline="0">
                    <a:effectLst/>
                  </a:rPr>
                  <a:t>U</a:t>
                </a:r>
                <a:r>
                  <a:rPr lang="en-US" altLang="zh-CN" sz="700" b="1" i="0" u="none" strike="noStrike" baseline="0">
                    <a:effectLst/>
                  </a:rPr>
                  <a:t>R</a:t>
                </a:r>
                <a:r>
                  <a:rPr lang="en-US" sz="1000" b="1" i="0" u="none" strike="noStrike" baseline="0">
                    <a:effectLst/>
                  </a:rPr>
                  <a:t>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077039"/>
        <c:crosses val="autoZero"/>
        <c:crossBetween val="midCat"/>
      </c:valAx>
      <c:valAx>
        <c:axId val="12990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1" i="0" u="none" strike="noStrike" baseline="0">
                    <a:effectLst/>
                  </a:rPr>
                  <a:t>频率 </a:t>
                </a:r>
                <a:r>
                  <a:rPr lang="en-US" sz="1000" b="1" i="0" u="none" strike="noStrike" baseline="0">
                    <a:effectLst/>
                  </a:rPr>
                  <a:t>f (Hz)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07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751795</xdr:colOff>
      <xdr:row>3</xdr:row>
      <xdr:rowOff>2719</xdr:rowOff>
    </xdr:from>
    <xdr:to>
      <xdr:col>18</xdr:col>
      <xdr:colOff>6804</xdr:colOff>
      <xdr:row>28</xdr:row>
      <xdr:rowOff>244930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1DA081-32A3-F17D-6414-071A52224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Normal="100" workbookViewId="0">
      <selection activeCell="J34" sqref="J34"/>
    </sheetView>
  </sheetViews>
  <sheetFormatPr defaultRowHeight="13.9" x14ac:dyDescent="0.4"/>
  <cols>
    <col min="1" max="16" width="10.59765625" customWidth="1"/>
  </cols>
  <sheetData>
    <row r="1" spans="1:9" ht="20" customHeight="1" x14ac:dyDescent="0.4">
      <c r="A1" s="1"/>
      <c r="B1" s="29" t="s">
        <v>0</v>
      </c>
      <c r="C1" s="29"/>
      <c r="D1" s="29"/>
      <c r="E1" s="29"/>
      <c r="F1" s="29"/>
    </row>
    <row r="2" spans="1:9" ht="20" customHeight="1" x14ac:dyDescent="0.4">
      <c r="A2" s="2"/>
      <c r="B2" s="29" t="s">
        <v>1</v>
      </c>
      <c r="C2" s="29"/>
      <c r="D2" s="29"/>
      <c r="E2" s="29"/>
      <c r="F2" s="30"/>
      <c r="G2" s="3"/>
    </row>
    <row r="3" spans="1:9" ht="20" customHeight="1" thickBot="1" x14ac:dyDescent="0.45"/>
    <row r="4" spans="1:9" ht="20" customHeight="1" thickBot="1" x14ac:dyDescent="0.45">
      <c r="B4" s="7" t="s">
        <v>2</v>
      </c>
      <c r="C4" s="10">
        <v>1000</v>
      </c>
      <c r="D4" s="8" t="s">
        <v>3</v>
      </c>
      <c r="E4" s="10">
        <v>0.1</v>
      </c>
      <c r="F4" s="9" t="s">
        <v>4</v>
      </c>
      <c r="G4" s="10">
        <v>9.9999999999999995E-8</v>
      </c>
      <c r="H4" s="9" t="s">
        <v>5</v>
      </c>
      <c r="I4" s="20">
        <f>1/(2*PI()*SQRT(E4*G4))</f>
        <v>1591.5494309189535</v>
      </c>
    </row>
    <row r="5" spans="1:9" ht="20" customHeight="1" thickBot="1" x14ac:dyDescent="0.45">
      <c r="B5" s="15"/>
      <c r="C5" s="17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18" t="s">
        <v>11</v>
      </c>
      <c r="I5" s="6" t="s">
        <v>12</v>
      </c>
    </row>
    <row r="6" spans="1:9" ht="20" customHeight="1" x14ac:dyDescent="0.4">
      <c r="B6" s="12" t="s">
        <v>13</v>
      </c>
      <c r="C6" s="16">
        <v>1314</v>
      </c>
      <c r="D6" s="5">
        <v>1414</v>
      </c>
      <c r="E6" s="5">
        <v>1514</v>
      </c>
      <c r="F6" s="21">
        <v>1614</v>
      </c>
      <c r="G6" s="5">
        <v>1714</v>
      </c>
      <c r="H6" s="5">
        <v>1814</v>
      </c>
      <c r="I6" s="22">
        <v>1914</v>
      </c>
    </row>
    <row r="7" spans="1:9" ht="20" customHeight="1" x14ac:dyDescent="0.4">
      <c r="B7" s="13" t="s">
        <v>14</v>
      </c>
      <c r="C7" s="11">
        <v>3.88</v>
      </c>
      <c r="D7" s="23">
        <v>4</v>
      </c>
      <c r="E7" s="4">
        <v>4.08</v>
      </c>
      <c r="F7" s="26">
        <v>4.2</v>
      </c>
      <c r="G7" s="4">
        <v>4.08</v>
      </c>
      <c r="H7" s="4">
        <v>3.96</v>
      </c>
      <c r="I7" s="24">
        <v>3.84</v>
      </c>
    </row>
    <row r="8" spans="1:9" ht="20" customHeight="1" x14ac:dyDescent="0.4">
      <c r="B8" s="13" t="s">
        <v>15</v>
      </c>
      <c r="C8" s="19">
        <f>$F$7 / SQRT($C$4^2 + (2*PI()*C6*$E$4 - 1/(2*PI()*C6*$G$4))^2)</f>
        <v>3.918738528707535E-3</v>
      </c>
      <c r="D8" s="19">
        <f t="shared" ref="D8:I8" si="0">$F$7 / SQRT($C$4^2 + (2*PI()*D6*$E$4 - 1/(2*PI()*D6*$G$4))^2)</f>
        <v>4.086679657442369E-3</v>
      </c>
      <c r="E8" s="19">
        <f t="shared" si="0"/>
        <v>4.1791780005239268E-3</v>
      </c>
      <c r="F8" s="19">
        <f t="shared" si="0"/>
        <v>4.1983526872109416E-3</v>
      </c>
      <c r="G8" s="19">
        <f t="shared" si="0"/>
        <v>4.1545151803558372E-3</v>
      </c>
      <c r="H8" s="19">
        <f t="shared" si="0"/>
        <v>4.0624701249243819E-3</v>
      </c>
      <c r="I8" s="31">
        <f t="shared" si="0"/>
        <v>3.9376453348741744E-3</v>
      </c>
    </row>
    <row r="9" spans="1:9" ht="20" customHeight="1" thickBot="1" x14ac:dyDescent="0.45">
      <c r="B9" s="14" t="s">
        <v>16</v>
      </c>
      <c r="C9" s="27">
        <f>(1/C4)*SQRT(E4/G$4)</f>
        <v>1.0000000000000002</v>
      </c>
      <c r="D9" s="28"/>
      <c r="E9" s="28"/>
      <c r="F9" s="28"/>
      <c r="G9" s="28"/>
      <c r="H9" s="28"/>
      <c r="I9" s="32"/>
    </row>
    <row r="10" spans="1:9" ht="20" customHeight="1" x14ac:dyDescent="0.4"/>
    <row r="11" spans="1:9" ht="20" customHeight="1" thickBot="1" x14ac:dyDescent="0.45"/>
    <row r="12" spans="1:9" ht="20" customHeight="1" thickBot="1" x14ac:dyDescent="0.45">
      <c r="B12" s="7" t="s">
        <v>2</v>
      </c>
      <c r="C12" s="10">
        <v>1000</v>
      </c>
      <c r="D12" s="8" t="s">
        <v>3</v>
      </c>
      <c r="E12" s="10">
        <v>0.1</v>
      </c>
      <c r="F12" s="9" t="s">
        <v>4</v>
      </c>
      <c r="G12" s="25">
        <v>4.6999999999999997E-8</v>
      </c>
      <c r="H12" s="9" t="s">
        <v>5</v>
      </c>
      <c r="I12" s="20">
        <f>1/(2*PI()*SQRT(E12*G12))</f>
        <v>2321.5134420947206</v>
      </c>
    </row>
    <row r="13" spans="1:9" ht="20" customHeight="1" thickBot="1" x14ac:dyDescent="0.45">
      <c r="B13" s="15"/>
      <c r="C13" s="17" t="s">
        <v>6</v>
      </c>
      <c r="D13" s="18" t="s">
        <v>7</v>
      </c>
      <c r="E13" s="18" t="s">
        <v>8</v>
      </c>
      <c r="F13" s="18" t="s">
        <v>9</v>
      </c>
      <c r="G13" s="18" t="s">
        <v>10</v>
      </c>
      <c r="H13" s="18" t="s">
        <v>11</v>
      </c>
      <c r="I13" s="6" t="s">
        <v>12</v>
      </c>
    </row>
    <row r="14" spans="1:9" ht="20" customHeight="1" x14ac:dyDescent="0.4">
      <c r="B14" s="12" t="s">
        <v>13</v>
      </c>
      <c r="C14" s="16">
        <v>1533</v>
      </c>
      <c r="D14" s="5">
        <v>1833</v>
      </c>
      <c r="E14" s="5">
        <v>2133</v>
      </c>
      <c r="F14" s="21">
        <v>2433</v>
      </c>
      <c r="G14" s="5">
        <v>2633</v>
      </c>
      <c r="H14" s="5">
        <v>2833</v>
      </c>
      <c r="I14" s="22">
        <v>3033</v>
      </c>
    </row>
    <row r="15" spans="1:9" ht="20" customHeight="1" x14ac:dyDescent="0.4">
      <c r="B15" s="13" t="s">
        <v>14</v>
      </c>
      <c r="C15" s="11">
        <v>2.76</v>
      </c>
      <c r="D15" s="23">
        <v>3.4</v>
      </c>
      <c r="E15" s="4">
        <v>3.88</v>
      </c>
      <c r="F15" s="23">
        <v>3.96</v>
      </c>
      <c r="G15" s="4">
        <v>3.76</v>
      </c>
      <c r="H15" s="4">
        <v>3.64</v>
      </c>
      <c r="I15" s="24">
        <v>3.4</v>
      </c>
    </row>
    <row r="16" spans="1:9" ht="20" customHeight="1" x14ac:dyDescent="0.4">
      <c r="B16" s="13" t="s">
        <v>15</v>
      </c>
      <c r="C16" s="19">
        <f>$F$15 / SQRT($C$12^2 + (2*PI()*C14*$E$12 - 1/(2*PI()*C14*$G$12))^2)</f>
        <v>2.4789786025543256E-3</v>
      </c>
      <c r="D16" s="19">
        <f t="shared" ref="D16:I16" si="1">$F$15 / SQRT($C$12^2 + (2*PI()*D14*$E$12 - 1/(2*PI()*D14*$G$12))^2)</f>
        <v>3.2507310324492822E-3</v>
      </c>
      <c r="E16" s="19">
        <f t="shared" si="1"/>
        <v>3.84413922524432E-3</v>
      </c>
      <c r="F16" s="19">
        <f t="shared" si="1"/>
        <v>3.9234113660956372E-3</v>
      </c>
      <c r="G16" s="19">
        <f t="shared" si="1"/>
        <v>3.7160177413583257E-3</v>
      </c>
      <c r="H16" s="19">
        <f t="shared" si="1"/>
        <v>3.418484942260686E-3</v>
      </c>
      <c r="I16" s="31">
        <f t="shared" si="1"/>
        <v>3.1085299852535932E-3</v>
      </c>
    </row>
    <row r="17" spans="2:9" ht="20" customHeight="1" thickBot="1" x14ac:dyDescent="0.45">
      <c r="B17" s="14" t="s">
        <v>16</v>
      </c>
      <c r="C17" s="27">
        <f>(1/$C$12)*SQRT($E$12/$G$12)</f>
        <v>1.4586499149789456</v>
      </c>
      <c r="D17" s="28"/>
      <c r="E17" s="28"/>
      <c r="F17" s="28"/>
      <c r="G17" s="28"/>
      <c r="H17" s="28"/>
      <c r="I17" s="32"/>
    </row>
    <row r="18" spans="2:9" ht="20" customHeight="1" x14ac:dyDescent="0.4"/>
    <row r="19" spans="2:9" ht="20" customHeight="1" thickBot="1" x14ac:dyDescent="0.45"/>
    <row r="20" spans="2:9" ht="20" customHeight="1" thickBot="1" x14ac:dyDescent="0.45">
      <c r="B20" s="7" t="s">
        <v>2</v>
      </c>
      <c r="C20" s="10">
        <v>1000</v>
      </c>
      <c r="D20" s="8" t="s">
        <v>3</v>
      </c>
      <c r="E20" s="10">
        <v>4.7E-2</v>
      </c>
      <c r="F20" s="9" t="s">
        <v>4</v>
      </c>
      <c r="G20" s="10">
        <v>9.9999999999999995E-8</v>
      </c>
      <c r="H20" s="9" t="s">
        <v>5</v>
      </c>
      <c r="I20" s="20">
        <f>1/(2*PI()*SQRT(E20*G20))</f>
        <v>2321.5134420947206</v>
      </c>
    </row>
    <row r="21" spans="2:9" ht="20" customHeight="1" thickBot="1" x14ac:dyDescent="0.45">
      <c r="B21" s="15"/>
      <c r="C21" s="17" t="s">
        <v>6</v>
      </c>
      <c r="D21" s="18" t="s">
        <v>7</v>
      </c>
      <c r="E21" s="18" t="s">
        <v>8</v>
      </c>
      <c r="F21" s="18" t="s">
        <v>9</v>
      </c>
      <c r="G21" s="18" t="s">
        <v>10</v>
      </c>
      <c r="H21" s="18" t="s">
        <v>11</v>
      </c>
      <c r="I21" s="6" t="s">
        <v>12</v>
      </c>
    </row>
    <row r="22" spans="2:9" ht="20" customHeight="1" x14ac:dyDescent="0.4">
      <c r="B22" s="12" t="s">
        <v>13</v>
      </c>
      <c r="C22" s="16">
        <v>1410</v>
      </c>
      <c r="D22" s="5">
        <v>1710</v>
      </c>
      <c r="E22" s="5">
        <v>2010</v>
      </c>
      <c r="F22" s="21">
        <v>2310</v>
      </c>
      <c r="G22" s="5">
        <v>2610</v>
      </c>
      <c r="H22" s="5">
        <v>2910</v>
      </c>
      <c r="I22" s="22">
        <v>3210</v>
      </c>
    </row>
    <row r="23" spans="2:9" ht="20" customHeight="1" x14ac:dyDescent="0.4">
      <c r="B23" s="13" t="s">
        <v>14</v>
      </c>
      <c r="C23" s="11">
        <v>3.8</v>
      </c>
      <c r="D23" s="23">
        <v>4.2</v>
      </c>
      <c r="E23" s="4">
        <v>4.4000000000000004</v>
      </c>
      <c r="F23" s="23">
        <v>4.4800000000000004</v>
      </c>
      <c r="G23" s="4">
        <v>4.4400000000000004</v>
      </c>
      <c r="H23" s="4">
        <v>4.32</v>
      </c>
      <c r="I23" s="24">
        <v>4.24</v>
      </c>
    </row>
    <row r="24" spans="2:9" ht="20" customHeight="1" x14ac:dyDescent="0.4">
      <c r="B24" s="13" t="s">
        <v>15</v>
      </c>
      <c r="C24" s="19">
        <f>$F$23 / SQRT($C$20^2 + (2*PI()*C22*$E$20 - 1/(2*PI()*C22*$G$20))^2)</f>
        <v>3.6488260933906706E-3</v>
      </c>
      <c r="D24" s="19">
        <f>$F$23 / SQRT($C$20^2 + (2*PI()*D22*$E$20 - 1/(2*PI()*D22*$G$20))^2)</f>
        <v>4.1219672449589314E-3</v>
      </c>
      <c r="E24" s="19">
        <f>$F$23 / SQRT($C$20^2 + (2*PI()*E22*$E$20 - 1/(2*PI()*E22*$G$20))^2)</f>
        <v>4.3944798792242227E-3</v>
      </c>
      <c r="F24" s="19">
        <f t="shared" ref="F24:I24" si="2">$F$23 / SQRT($C$20^2 + (2*PI()*F22*$E$20 - 1/(2*PI()*F22*$G$20))^2)</f>
        <v>4.4798959072230747E-3</v>
      </c>
      <c r="G24" s="19">
        <f t="shared" si="2"/>
        <v>4.4230632227899528E-3</v>
      </c>
      <c r="H24" s="19">
        <f t="shared" si="2"/>
        <v>4.2761591006454346E-3</v>
      </c>
      <c r="I24" s="31">
        <f t="shared" si="2"/>
        <v>4.0821414019605934E-3</v>
      </c>
    </row>
    <row r="25" spans="2:9" ht="20" customHeight="1" thickBot="1" x14ac:dyDescent="0.45">
      <c r="B25" s="14" t="s">
        <v>16</v>
      </c>
      <c r="C25" s="27">
        <f>(1/$C$20)*SQRT($E$20/$G$20)</f>
        <v>0.68556546004010444</v>
      </c>
      <c r="D25" s="28"/>
      <c r="E25" s="28"/>
      <c r="F25" s="28"/>
      <c r="G25" s="28"/>
      <c r="H25" s="28"/>
      <c r="I25" s="32"/>
    </row>
    <row r="26" spans="2:9" ht="20" customHeight="1" x14ac:dyDescent="0.4"/>
    <row r="27" spans="2:9" ht="20" customHeight="1" thickBot="1" x14ac:dyDescent="0.45"/>
    <row r="28" spans="2:9" ht="20" customHeight="1" thickBot="1" x14ac:dyDescent="0.45">
      <c r="B28" s="7" t="s">
        <v>2</v>
      </c>
      <c r="C28" s="10">
        <v>200</v>
      </c>
      <c r="D28" s="8" t="s">
        <v>3</v>
      </c>
      <c r="E28" s="10">
        <v>0.1</v>
      </c>
      <c r="F28" s="9" t="s">
        <v>4</v>
      </c>
      <c r="G28" s="10">
        <v>9.9999999999999995E-8</v>
      </c>
      <c r="H28" s="9" t="s">
        <v>5</v>
      </c>
      <c r="I28" s="20">
        <f>1/(2*PI()*SQRT(E28*G28))</f>
        <v>1591.5494309189535</v>
      </c>
    </row>
    <row r="29" spans="2:9" ht="20" customHeight="1" thickBot="1" x14ac:dyDescent="0.45">
      <c r="B29" s="15"/>
      <c r="C29" s="17" t="s">
        <v>6</v>
      </c>
      <c r="D29" s="18" t="s">
        <v>7</v>
      </c>
      <c r="E29" s="18" t="s">
        <v>8</v>
      </c>
      <c r="F29" s="18" t="s">
        <v>9</v>
      </c>
      <c r="G29" s="18" t="s">
        <v>10</v>
      </c>
      <c r="H29" s="18" t="s">
        <v>11</v>
      </c>
      <c r="I29" s="6" t="s">
        <v>12</v>
      </c>
    </row>
    <row r="30" spans="2:9" ht="20" customHeight="1" x14ac:dyDescent="0.4">
      <c r="B30" s="12" t="s">
        <v>13</v>
      </c>
      <c r="C30" s="16">
        <v>992</v>
      </c>
      <c r="D30" s="5">
        <v>1192</v>
      </c>
      <c r="E30" s="5">
        <v>1392</v>
      </c>
      <c r="F30" s="21">
        <v>1592</v>
      </c>
      <c r="G30" s="5">
        <v>1792</v>
      </c>
      <c r="H30" s="5">
        <v>1992</v>
      </c>
      <c r="I30" s="22">
        <v>2192</v>
      </c>
    </row>
    <row r="31" spans="2:9" ht="20" customHeight="1" x14ac:dyDescent="0.4">
      <c r="B31" s="13" t="s">
        <v>14</v>
      </c>
      <c r="C31" s="11">
        <v>1.1200000000000001</v>
      </c>
      <c r="D31" s="23">
        <v>1.62</v>
      </c>
      <c r="E31" s="4">
        <v>2.2599999999999998</v>
      </c>
      <c r="F31" s="23">
        <v>2.2799999999999998</v>
      </c>
      <c r="G31" s="4">
        <v>1.98</v>
      </c>
      <c r="H31" s="4">
        <v>1.68</v>
      </c>
      <c r="I31" s="24">
        <v>1.34</v>
      </c>
    </row>
    <row r="32" spans="2:9" ht="20" customHeight="1" x14ac:dyDescent="0.4">
      <c r="B32" s="13" t="s">
        <v>15</v>
      </c>
      <c r="C32" s="19">
        <f>$F$31 / SQRT($C$28^2 + (2*PI()*C30*$E$28 - 1/(2*PI()*C30*$G$28))^2)</f>
        <v>2.2771070180143587E-3</v>
      </c>
      <c r="D32" s="19">
        <f t="shared" ref="D32:I32" si="3">$F$31 / SQRT($C$28^2 + (2*PI()*D30*$E$28 - 1/(2*PI()*D30*$G$28))^2)</f>
        <v>3.6808990354052894E-3</v>
      </c>
      <c r="E32" s="19">
        <f t="shared" si="3"/>
        <v>6.8061659217319862E-3</v>
      </c>
      <c r="F32" s="19">
        <f t="shared" si="3"/>
        <v>1.1399954329913722E-2</v>
      </c>
      <c r="G32" s="19">
        <f t="shared" si="3"/>
        <v>7.337625769501502E-3</v>
      </c>
      <c r="H32" s="19">
        <f t="shared" si="3"/>
        <v>4.6073968748084849E-3</v>
      </c>
      <c r="I32" s="31">
        <f t="shared" si="3"/>
        <v>3.3469224029082571E-3</v>
      </c>
    </row>
    <row r="33" spans="2:9" ht="20" customHeight="1" thickBot="1" x14ac:dyDescent="0.45">
      <c r="B33" s="14" t="s">
        <v>16</v>
      </c>
      <c r="C33" s="27">
        <f>(1/$C$28)*SQRT($E$28/$G$28)</f>
        <v>5.0000000000000009</v>
      </c>
      <c r="D33" s="28"/>
      <c r="E33" s="28"/>
      <c r="F33" s="28"/>
      <c r="G33" s="28"/>
      <c r="H33" s="28"/>
      <c r="I33" s="32"/>
    </row>
  </sheetData>
  <mergeCells count="6">
    <mergeCell ref="C17:I17"/>
    <mergeCell ref="C25:I25"/>
    <mergeCell ref="C33:I33"/>
    <mergeCell ref="B1:F1"/>
    <mergeCell ref="B2:F2"/>
    <mergeCell ref="C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Lucas Chen</dc:creator>
  <cp:lastModifiedBy>W. Lucas Chen</cp:lastModifiedBy>
  <dcterms:created xsi:type="dcterms:W3CDTF">2015-06-05T18:19:34Z</dcterms:created>
  <dcterms:modified xsi:type="dcterms:W3CDTF">2025-11-03T03:06:52Z</dcterms:modified>
  <cp:contentStatus>最终状态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