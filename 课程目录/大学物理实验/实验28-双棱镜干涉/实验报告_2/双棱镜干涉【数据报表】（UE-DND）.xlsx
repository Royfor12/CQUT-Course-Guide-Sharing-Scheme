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Github Repos\CQUT-Course-Guide-Sharing-Scheme\课程目录\大学物理实验\实验28-双棱镜干涉\实验报告_2\"/>
    </mc:Choice>
  </mc:AlternateContent>
  <xr:revisionPtr revIDLastSave="0" documentId="13_ncr:1_{8B9E574A-92B1-4878-B4E8-5881CCB20B2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1" i="1" l="1"/>
  <c r="D21" i="1"/>
  <c r="K14" i="1"/>
  <c r="K18" i="1"/>
  <c r="K16" i="1"/>
  <c r="H8" i="1"/>
  <c r="N6" i="1"/>
</calcChain>
</file>

<file path=xl/sharedStrings.xml><?xml version="1.0" encoding="utf-8"?>
<sst xmlns="http://schemas.openxmlformats.org/spreadsheetml/2006/main" count="32" uniqueCount="26">
  <si>
    <t>处是需要填充的实验数据，剩下的会根据已知数据自动计算</t>
    <phoneticPr fontId="0" type="noConversion"/>
  </si>
  <si>
    <t>处数据含有公式，尽量不要改动</t>
    <phoneticPr fontId="0" type="noConversion"/>
  </si>
  <si>
    <t>双棱镜干涉条纹间距实验数据记录</t>
  </si>
  <si>
    <t>数字测微目镜读数/mm</t>
  </si>
  <si>
    <t>光具座读数/cm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</si>
  <si>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</si>
  <si>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</si>
  <si>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</si>
  <si>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</si>
  <si>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</si>
  <si>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</si>
  <si>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</si>
  <si>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</si>
  <si>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</si>
  <si>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</si>
  <si>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Xs</t>
  </si>
  <si>
    <t>Xf</t>
  </si>
  <si>
    <t>Δx</t>
  </si>
  <si>
    <t>双棱镜干涉狭缝虚像间距实验记录数据</t>
  </si>
  <si>
    <t>d' = |x1-x2|</t>
  </si>
  <si>
    <t>D = |Xs-Xf|</t>
  </si>
  <si>
    <r>
      <t>X</t>
    </r>
    <r>
      <rPr>
        <b/>
        <sz val="8"/>
        <color theme="1"/>
        <rFont val="等线"/>
        <charset val="134"/>
        <scheme val="minor"/>
      </rPr>
      <t>L</t>
    </r>
  </si>
  <si>
    <r>
      <t>u = |Xs-X</t>
    </r>
    <r>
      <rPr>
        <b/>
        <sz val="8"/>
        <color theme="1"/>
        <rFont val="等线"/>
        <charset val="134"/>
        <scheme val="minor"/>
      </rPr>
      <t>L</t>
    </r>
    <r>
      <rPr>
        <b/>
        <sz val="11"/>
        <color theme="1"/>
        <rFont val="等线"/>
        <charset val="134"/>
        <scheme val="minor"/>
      </rPr>
      <t>|</t>
    </r>
  </si>
  <si>
    <r>
      <t>v = |X</t>
    </r>
    <r>
      <rPr>
        <b/>
        <sz val="8"/>
        <color theme="1"/>
        <rFont val="等线"/>
        <charset val="134"/>
        <scheme val="minor"/>
      </rPr>
      <t>L</t>
    </r>
    <r>
      <rPr>
        <b/>
        <sz val="11"/>
        <color theme="1"/>
        <rFont val="等线"/>
        <charset val="134"/>
        <scheme val="minor"/>
      </rPr>
      <t>-Xf|</t>
    </r>
  </si>
  <si>
    <t>d = d'*u/v (mm)</t>
  </si>
  <si>
    <t>λ = d * Δx / D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</si>
</sst>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"/>
  </numFmts>
  <fonts count="9" x14ac:knownFonts="1">
    <font>
      <sz val="11"/>
      <color theme="1"/>
      <name val="等线"/>
      <family val="2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theme="1"/>
      <name val="等线"/>
      <charset val="134"/>
      <scheme val="minor"/>
    </font>
    <font>
      <sz val="8"/>
      <name val="等线"/>
      <family val="2"/>
      <scheme val="minor"/>
    </font>
    <font>
      <b/>
      <sz val="10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0" fillId="5" borderId="9" xfId="0" applyNumberFormat="1" applyFill="1" applyBorder="1" applyAlignment="1">
      <alignment horizontal="center" vertical="center"/>
    </xf>
    <xf numFmtId="165" fontId="0" fillId="4" borderId="8" xfId="0" applyNumberFormat="1" applyFill="1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18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0" fillId="4" borderId="24" xfId="0" applyNumberForma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2" fontId="7" fillId="4" borderId="25" xfId="0" applyNumberFormat="1" applyFont="1" applyFill="1" applyBorder="1" applyAlignment="1">
      <alignment horizontal="center" vertical="center"/>
    </xf>
    <xf numFmtId="2" fontId="7" fillId="4" borderId="29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165" fontId="0" fillId="4" borderId="24" xfId="0" applyNumberFormat="1" applyFill="1" applyBorder="1" applyAlignment="1">
      <alignment horizontal="center" vertical="center"/>
    </xf>
    <xf numFmtId="165" fontId="0" fillId="4" borderId="27" xfId="0" applyNumberFormat="1" applyFill="1" applyBorder="1" applyAlignment="1">
      <alignment horizontal="center" vertical="center"/>
    </xf>
    <xf numFmtId="165" fontId="0" fillId="4" borderId="18" xfId="0" applyNumberForma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64" fontId="3" fillId="0" borderId="27" xfId="0" applyNumberFormat="1" applyFont="1" applyFill="1" applyBorder="1" applyAlignment="1">
      <alignment horizontal="center" vertical="center"/>
    </xf>
    <xf numFmtId="164" fontId="3" fillId="0" borderId="3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9" zoomScale="130" zoomScaleNormal="130" workbookViewId="0">
      <selection activeCell="Q20" sqref="Q20"/>
    </sheetView>
  </sheetViews>
  <sheetFormatPr defaultRowHeight="13.9" x14ac:dyDescent="0.4"/>
  <sheetData>
    <row r="1" spans="1:14" ht="25.05" customHeight="1" x14ac:dyDescent="0.4">
      <c r="A1" s="1"/>
      <c r="B1" s="78" t="s">
        <v>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ht="25.05" customHeight="1" x14ac:dyDescent="0.4">
      <c r="A2" s="2"/>
      <c r="B2" s="78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14" ht="25.05" customHeight="1" thickBot="1" x14ac:dyDescent="0.45"/>
    <row r="4" spans="1:14" ht="25.05" customHeight="1" thickBot="1" x14ac:dyDescent="0.45">
      <c r="B4" s="16" t="s">
        <v>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17"/>
    </row>
    <row r="5" spans="1:14" ht="25.05" customHeight="1" x14ac:dyDescent="0.4">
      <c r="B5" s="65" t="s">
        <v>3</v>
      </c>
      <c r="C5" s="66"/>
      <c r="D5" s="9" t="s">
        <v>5</v>
      </c>
      <c r="E5" s="10" t="s">
        <v>6</v>
      </c>
      <c r="F5" s="10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2" t="s">
        <v>17</v>
      </c>
    </row>
    <row r="6" spans="1:14" ht="25.05" customHeight="1" x14ac:dyDescent="0.4">
      <c r="B6" s="57"/>
      <c r="C6" s="67"/>
      <c r="D6" s="5">
        <v>3.5339999999999998</v>
      </c>
      <c r="E6" s="6">
        <v>3.7759999999999998</v>
      </c>
      <c r="F6" s="6">
        <v>4.0069999999999997</v>
      </c>
      <c r="G6" s="7">
        <v>4.242</v>
      </c>
      <c r="H6" s="4">
        <v>4.5</v>
      </c>
      <c r="I6" s="8">
        <v>4.7750000000000004</v>
      </c>
      <c r="J6" s="8">
        <v>5.0019999999999998</v>
      </c>
      <c r="K6" s="8">
        <v>5.2729999999999997</v>
      </c>
      <c r="L6" s="8">
        <v>5.4939999999999998</v>
      </c>
      <c r="M6" s="8">
        <v>5.7789999999999999</v>
      </c>
      <c r="N6" s="3">
        <f>(SUM(I6:M6) - SUM(D6:H6)) / 25</f>
        <v>0.25055999999999995</v>
      </c>
    </row>
    <row r="7" spans="1:14" ht="25.05" customHeight="1" x14ac:dyDescent="0.4">
      <c r="B7" s="59" t="s">
        <v>4</v>
      </c>
      <c r="C7" s="68"/>
      <c r="D7" s="70" t="s">
        <v>15</v>
      </c>
      <c r="E7" s="71"/>
      <c r="F7" s="72" t="s">
        <v>16</v>
      </c>
      <c r="G7" s="72"/>
      <c r="H7" s="76" t="s">
        <v>20</v>
      </c>
      <c r="I7" s="76"/>
      <c r="J7" s="76"/>
      <c r="K7" s="76"/>
      <c r="L7" s="76"/>
      <c r="M7" s="76"/>
      <c r="N7" s="77"/>
    </row>
    <row r="8" spans="1:14" ht="25.05" customHeight="1" thickBot="1" x14ac:dyDescent="0.45">
      <c r="B8" s="63"/>
      <c r="C8" s="69"/>
      <c r="D8" s="73">
        <v>9.91</v>
      </c>
      <c r="E8" s="74"/>
      <c r="F8" s="75">
        <v>44.82</v>
      </c>
      <c r="G8" s="75"/>
      <c r="H8" s="34">
        <f>ABS(D8-F8)</f>
        <v>34.909999999999997</v>
      </c>
      <c r="I8" s="35"/>
      <c r="J8" s="35"/>
      <c r="K8" s="35"/>
      <c r="L8" s="35"/>
      <c r="M8" s="35"/>
      <c r="N8" s="36"/>
    </row>
    <row r="9" spans="1:14" ht="25.05" customHeight="1" x14ac:dyDescent="0.4"/>
    <row r="10" spans="1:14" ht="25.05" customHeight="1" x14ac:dyDescent="0.4"/>
    <row r="11" spans="1:14" ht="25.05" customHeight="1" x14ac:dyDescent="0.4"/>
    <row r="12" spans="1:14" ht="25.05" customHeight="1" thickBot="1" x14ac:dyDescent="0.45"/>
    <row r="13" spans="1:14" ht="25.05" customHeight="1" thickBot="1" x14ac:dyDescent="0.45">
      <c r="B13" s="16" t="s">
        <v>18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17"/>
    </row>
    <row r="14" spans="1:14" ht="25.05" customHeight="1" x14ac:dyDescent="0.4">
      <c r="B14" s="55" t="s">
        <v>3</v>
      </c>
      <c r="C14" s="56"/>
      <c r="D14" s="10" t="s">
        <v>5</v>
      </c>
      <c r="E14" s="41">
        <v>2.6280000000000001</v>
      </c>
      <c r="F14" s="42"/>
      <c r="G14" s="42"/>
      <c r="H14" s="43"/>
      <c r="I14" s="37" t="s">
        <v>19</v>
      </c>
      <c r="J14" s="38"/>
      <c r="K14" s="47">
        <f>ABS(E14-E15)</f>
        <v>1.5729999999999995</v>
      </c>
      <c r="L14" s="47"/>
      <c r="M14" s="47"/>
      <c r="N14" s="48"/>
    </row>
    <row r="15" spans="1:14" ht="25.05" customHeight="1" x14ac:dyDescent="0.4">
      <c r="B15" s="57"/>
      <c r="C15" s="58"/>
      <c r="D15" s="10" t="s">
        <v>6</v>
      </c>
      <c r="E15" s="44">
        <v>4.2009999999999996</v>
      </c>
      <c r="F15" s="45"/>
      <c r="G15" s="45"/>
      <c r="H15" s="46"/>
      <c r="I15" s="39"/>
      <c r="J15" s="40"/>
      <c r="K15" s="49"/>
      <c r="L15" s="49"/>
      <c r="M15" s="49"/>
      <c r="N15" s="50"/>
    </row>
    <row r="16" spans="1:14" ht="25.05" customHeight="1" x14ac:dyDescent="0.4">
      <c r="B16" s="59" t="s">
        <v>4</v>
      </c>
      <c r="C16" s="60"/>
      <c r="D16" s="14" t="s">
        <v>15</v>
      </c>
      <c r="E16" s="51">
        <v>9.91</v>
      </c>
      <c r="F16" s="52"/>
      <c r="G16" s="52"/>
      <c r="H16" s="53"/>
      <c r="I16" s="37" t="s">
        <v>22</v>
      </c>
      <c r="J16" s="38"/>
      <c r="K16" s="28">
        <f>ABS(E16-E17)</f>
        <v>17.940000000000001</v>
      </c>
      <c r="L16" s="29"/>
      <c r="M16" s="29"/>
      <c r="N16" s="30"/>
    </row>
    <row r="17" spans="2:14" ht="25.05" customHeight="1" x14ac:dyDescent="0.4">
      <c r="B17" s="61"/>
      <c r="C17" s="62"/>
      <c r="D17" s="13" t="s">
        <v>21</v>
      </c>
      <c r="E17" s="51">
        <v>27.85</v>
      </c>
      <c r="F17" s="52"/>
      <c r="G17" s="52"/>
      <c r="H17" s="53"/>
      <c r="I17" s="39"/>
      <c r="J17" s="40"/>
      <c r="K17" s="31"/>
      <c r="L17" s="32"/>
      <c r="M17" s="32"/>
      <c r="N17" s="33"/>
    </row>
    <row r="18" spans="2:14" ht="25.05" customHeight="1" thickBot="1" x14ac:dyDescent="0.45">
      <c r="B18" s="63"/>
      <c r="C18" s="64"/>
      <c r="D18" s="15" t="s">
        <v>16</v>
      </c>
      <c r="E18" s="25">
        <v>62.1</v>
      </c>
      <c r="F18" s="26"/>
      <c r="G18" s="26"/>
      <c r="H18" s="26"/>
      <c r="I18" s="27" t="s">
        <v>23</v>
      </c>
      <c r="J18" s="27"/>
      <c r="K18" s="34">
        <f>ABS(E17-E18)</f>
        <v>34.25</v>
      </c>
      <c r="L18" s="35"/>
      <c r="M18" s="35"/>
      <c r="N18" s="36"/>
    </row>
    <row r="19" spans="2:14" ht="25.05" customHeight="1" x14ac:dyDescent="0.4"/>
    <row r="20" spans="2:14" ht="25.05" customHeight="1" thickBot="1" x14ac:dyDescent="0.45"/>
    <row r="21" spans="2:14" ht="25.05" customHeight="1" thickBot="1" x14ac:dyDescent="0.45">
      <c r="B21" s="16" t="s">
        <v>24</v>
      </c>
      <c r="C21" s="17"/>
      <c r="D21" s="18">
        <f>K14*K16/K18</f>
        <v>0.8239305109489049</v>
      </c>
      <c r="E21" s="19"/>
      <c r="F21" s="19"/>
      <c r="G21" s="19"/>
      <c r="H21" s="19"/>
      <c r="I21" s="20" t="s">
        <v>25</v>
      </c>
      <c r="J21" s="21"/>
      <c r="K21" s="22">
        <f>D21 / (H8*10) * N6</f>
        <v>5.9136072421471671E-4</v>
      </c>
      <c r="L21" s="23"/>
      <c r="M21" s="23"/>
      <c r="N21" s="24"/>
    </row>
    <row r="22" spans="2:14" ht="25.05" customHeight="1" x14ac:dyDescent="0.4"/>
    <row r="23" spans="2:14" ht="25.05" customHeight="1" x14ac:dyDescent="0.4"/>
    <row r="24" spans="2:14" ht="25.05" customHeight="1" x14ac:dyDescent="0.4"/>
  </sheetData>
  <mergeCells count="29">
    <mergeCell ref="B1:N1"/>
    <mergeCell ref="B2:N2"/>
    <mergeCell ref="B4:N4"/>
    <mergeCell ref="H8:N8"/>
    <mergeCell ref="B13:N13"/>
    <mergeCell ref="B14:C15"/>
    <mergeCell ref="B16:C18"/>
    <mergeCell ref="B5:C6"/>
    <mergeCell ref="B7:C8"/>
    <mergeCell ref="D7:E7"/>
    <mergeCell ref="F7:G7"/>
    <mergeCell ref="D8:E8"/>
    <mergeCell ref="F8:G8"/>
    <mergeCell ref="H7:N7"/>
    <mergeCell ref="K16:N17"/>
    <mergeCell ref="K18:N18"/>
    <mergeCell ref="I14:J15"/>
    <mergeCell ref="E14:H14"/>
    <mergeCell ref="E15:H15"/>
    <mergeCell ref="K14:N15"/>
    <mergeCell ref="I16:J17"/>
    <mergeCell ref="E16:H16"/>
    <mergeCell ref="E17:H17"/>
    <mergeCell ref="B21:C21"/>
    <mergeCell ref="D21:H21"/>
    <mergeCell ref="I21:J21"/>
    <mergeCell ref="K21:N21"/>
    <mergeCell ref="E18:H18"/>
    <mergeCell ref="I18:J1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Lucas Chen</dc:creator>
  <cp:lastModifiedBy>W. Lucas Chen</cp:lastModifiedBy>
  <dcterms:created xsi:type="dcterms:W3CDTF">2015-06-05T18:19:34Z</dcterms:created>
  <dcterms:modified xsi:type="dcterms:W3CDTF">2025-11-22T14:12:12Z</dcterms:modified>
  <cp:contentStatus>最终状态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