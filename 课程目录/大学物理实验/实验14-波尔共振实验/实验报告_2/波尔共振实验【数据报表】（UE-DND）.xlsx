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Github Repos\CQUT-Course-Guide-Sharing-Scheme\课程目录\大学物理实验\实验14-波尔共振实验\实验报告_2\"/>
    </mc:Choice>
  </mc:AlternateContent>
  <xr:revisionPtr revIDLastSave="0" documentId="13_ncr:1_{1232929C-4F34-4151-AA0C-1912A88BABF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1" l="1"/>
  <c r="G30" i="1"/>
  <c r="G29" i="1"/>
  <c r="G28" i="1"/>
  <c r="G26" i="1"/>
  <c r="G25" i="1"/>
  <c r="G24" i="1"/>
  <c r="G23" i="1"/>
  <c r="G22" i="1"/>
  <c r="G21" i="1"/>
  <c r="G20" i="1"/>
  <c r="G19" i="1"/>
  <c r="F8" i="1"/>
  <c r="E14" i="1"/>
  <c r="F10" i="1"/>
  <c r="F9" i="1"/>
  <c r="F7" i="1"/>
  <c r="F6" i="1"/>
  <c r="G14" i="1" l="1"/>
  <c r="F11" i="1"/>
</calcChain>
</file>

<file path=xl/sharedStrings.xml><?xml version="1.0" encoding="utf-8"?>
<sst xmlns="http://schemas.openxmlformats.org/spreadsheetml/2006/main" count="25" uniqueCount="23">
  <si>
    <t>处是需要填充的实验数据，剩下的会根据已知数据自动计算</t>
    <phoneticPr fontId="0" type="noConversion"/>
  </si>
  <si>
    <t>处数据含有公式，尽量不要改动</t>
    <phoneticPr fontId="0" type="noConversion"/>
  </si>
  <si>
    <t>测定阻尼系数β</t>
  </si>
  <si>
    <t>序号</t>
  </si>
  <si>
    <t>θ1</t>
  </si>
  <si>
    <t>θ2</t>
  </si>
  <si>
    <t>θ3</t>
  </si>
  <si>
    <t>θ4</t>
  </si>
  <si>
    <t>θ5</t>
  </si>
  <si>
    <t>振幅</t>
  </si>
  <si>
    <t>θ6</t>
  </si>
  <si>
    <t>θ10</t>
  </si>
  <si>
    <t>θ9</t>
  </si>
  <si>
    <t>θ8</t>
  </si>
  <si>
    <t>θ7</t>
  </si>
  <si>
    <t>10T</t>
  </si>
  <si>
    <t>幅频特性和相频特性测量</t>
  </si>
  <si>
    <t>电位器刻度值</t>
  </si>
  <si>
    <t>强迫力矩周期 T/s</t>
  </si>
  <si>
    <t>相位差 φ/(°)</t>
  </si>
  <si>
    <t>振幅 θ/(°)</t>
  </si>
  <si>
    <t>固有周期 T0/s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</si>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</sst>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6" x14ac:knownFonts="1">
    <font>
      <sz val="11"/>
      <color theme="1"/>
      <name val="等线"/>
      <family val="2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theme="1"/>
      <name val="等线"/>
      <charset val="134"/>
      <scheme val="minor"/>
    </font>
    <font>
      <sz val="9"/>
      <color theme="1"/>
      <name val="等线"/>
      <family val="2"/>
      <scheme val="minor"/>
    </font>
    <font>
      <sz val="8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Border="1"/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3" xfId="0" applyNumberFormat="1" applyFill="1" applyBorder="1" applyAlignment="1">
      <alignment horizontal="center" vertical="center"/>
    </xf>
    <xf numFmtId="165" fontId="0" fillId="0" borderId="5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166" fontId="0" fillId="5" borderId="23" xfId="0" applyNumberFormat="1" applyFill="1" applyBorder="1" applyAlignment="1">
      <alignment horizontal="center" vertical="center"/>
    </xf>
    <xf numFmtId="164" fontId="0" fillId="4" borderId="24" xfId="0" applyNumberForma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164" fontId="0" fillId="4" borderId="18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幅频特性曲线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Sheet1!$G$19:$G$30</c:f>
              <c:numCache>
                <c:formatCode>0.0000</c:formatCode>
                <c:ptCount val="12"/>
                <c:pt idx="0">
                  <c:v>4.1522504011366639</c:v>
                </c:pt>
                <c:pt idx="1">
                  <c:v>4.1277002410984105</c:v>
                </c:pt>
                <c:pt idx="2">
                  <c:v>4.1053154570401835</c:v>
                </c:pt>
                <c:pt idx="3">
                  <c:v>4.0821110362525994</c:v>
                </c:pt>
                <c:pt idx="4">
                  <c:v>4.0591674572000773</c:v>
                </c:pt>
                <c:pt idx="5">
                  <c:v>4.0369990407350294</c:v>
                </c:pt>
                <c:pt idx="6">
                  <c:v>4.0143018828264765</c:v>
                </c:pt>
                <c:pt idx="7">
                  <c:v>3.992365806964036</c:v>
                </c:pt>
                <c:pt idx="8">
                  <c:v>3.9704172556082149</c:v>
                </c:pt>
                <c:pt idx="9">
                  <c:v>3.9487087148064357</c:v>
                </c:pt>
                <c:pt idx="10">
                  <c:v>3.9265000043744531</c:v>
                </c:pt>
                <c:pt idx="11">
                  <c:v>3.905510509075087</c:v>
                </c:pt>
              </c:numCache>
            </c:numRef>
          </c:xVal>
          <c:yVal>
            <c:numRef>
              <c:f>Sheet1!$E$19:$E$30</c:f>
              <c:numCache>
                <c:formatCode>General</c:formatCode>
                <c:ptCount val="12"/>
                <c:pt idx="0">
                  <c:v>57</c:v>
                </c:pt>
                <c:pt idx="1">
                  <c:v>67</c:v>
                </c:pt>
                <c:pt idx="2">
                  <c:v>78</c:v>
                </c:pt>
                <c:pt idx="3">
                  <c:v>92</c:v>
                </c:pt>
                <c:pt idx="4">
                  <c:v>108</c:v>
                </c:pt>
                <c:pt idx="5">
                  <c:v>119</c:v>
                </c:pt>
                <c:pt idx="6">
                  <c:v>120</c:v>
                </c:pt>
                <c:pt idx="7">
                  <c:v>113</c:v>
                </c:pt>
                <c:pt idx="8">
                  <c:v>101</c:v>
                </c:pt>
                <c:pt idx="9">
                  <c:v>88</c:v>
                </c:pt>
                <c:pt idx="10">
                  <c:v>77</c:v>
                </c:pt>
                <c:pt idx="11">
                  <c:v>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85-49B5-8CEA-8C5173211C9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50101312"/>
        <c:axId val="1850087872"/>
      </c:scatterChart>
      <c:valAx>
        <c:axId val="185010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ω</a:t>
                </a:r>
                <a:r>
                  <a:rPr lang="el-GR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50087872"/>
        <c:crosses val="autoZero"/>
        <c:crossBetween val="midCat"/>
        <c:majorUnit val="5.000000000000001E-2"/>
      </c:valAx>
      <c:valAx>
        <c:axId val="18500878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振幅 </a:t>
                </a:r>
                <a:r>
                  <a:rPr lang="el-GR" sz="1000" b="0" i="0" u="none" strike="noStrike" baseline="0">
                    <a:effectLst/>
                  </a:rPr>
                  <a:t>θ/(°)</a:t>
                </a:r>
                <a:r>
                  <a:rPr lang="el-GR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5010131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相频特性曲线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Sheet1!$G$19:$G$30</c:f>
              <c:numCache>
                <c:formatCode>0.0000</c:formatCode>
                <c:ptCount val="12"/>
                <c:pt idx="0">
                  <c:v>4.1522504011366639</c:v>
                </c:pt>
                <c:pt idx="1">
                  <c:v>4.1277002410984105</c:v>
                </c:pt>
                <c:pt idx="2">
                  <c:v>4.1053154570401835</c:v>
                </c:pt>
                <c:pt idx="3">
                  <c:v>4.0821110362525994</c:v>
                </c:pt>
                <c:pt idx="4">
                  <c:v>4.0591674572000773</c:v>
                </c:pt>
                <c:pt idx="5">
                  <c:v>4.0369990407350294</c:v>
                </c:pt>
                <c:pt idx="6">
                  <c:v>4.0143018828264765</c:v>
                </c:pt>
                <c:pt idx="7">
                  <c:v>3.992365806964036</c:v>
                </c:pt>
                <c:pt idx="8">
                  <c:v>3.9704172556082149</c:v>
                </c:pt>
                <c:pt idx="9">
                  <c:v>3.9487087148064357</c:v>
                </c:pt>
                <c:pt idx="10">
                  <c:v>3.9265000043744531</c:v>
                </c:pt>
                <c:pt idx="11">
                  <c:v>3.905510509075087</c:v>
                </c:pt>
              </c:numCache>
            </c:numRef>
          </c:xVal>
          <c:yVal>
            <c:numRef>
              <c:f>Sheet1!$D$19:$D$30</c:f>
              <c:numCache>
                <c:formatCode>General</c:formatCode>
                <c:ptCount val="12"/>
                <c:pt idx="0">
                  <c:v>150</c:v>
                </c:pt>
                <c:pt idx="1">
                  <c:v>145</c:v>
                </c:pt>
                <c:pt idx="2">
                  <c:v>138</c:v>
                </c:pt>
                <c:pt idx="3">
                  <c:v>129</c:v>
                </c:pt>
                <c:pt idx="4">
                  <c:v>116</c:v>
                </c:pt>
                <c:pt idx="5">
                  <c:v>100</c:v>
                </c:pt>
                <c:pt idx="6">
                  <c:v>83</c:v>
                </c:pt>
                <c:pt idx="7">
                  <c:v>67</c:v>
                </c:pt>
                <c:pt idx="8">
                  <c:v>56</c:v>
                </c:pt>
                <c:pt idx="9">
                  <c:v>47</c:v>
                </c:pt>
                <c:pt idx="10">
                  <c:v>41</c:v>
                </c:pt>
                <c:pt idx="11">
                  <c:v>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8F-4BDA-9BDA-CD39C4366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101312"/>
        <c:axId val="1850087872"/>
      </c:scatterChart>
      <c:valAx>
        <c:axId val="185010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ω</a:t>
                </a:r>
                <a:r>
                  <a:rPr lang="el-GR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50087872"/>
        <c:crosses val="autoZero"/>
        <c:crossBetween val="midCat"/>
      </c:valAx>
      <c:valAx>
        <c:axId val="18500878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相位差 </a:t>
                </a:r>
                <a:r>
                  <a:rPr lang="el-GR" sz="1000" b="0" i="0" u="none" strike="noStrike" baseline="0">
                    <a:effectLst/>
                  </a:rPr>
                  <a:t>φ/(°)</a:t>
                </a:r>
                <a:r>
                  <a:rPr lang="el-GR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5010131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297656</xdr:colOff>
      <xdr:row>10</xdr:row>
      <xdr:rowOff>57150</xdr:rowOff>
    </xdr:from>
    <xdr:ext cx="2012156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52A3DC84-30C4-D5FA-AC9A-D36562097EA6}"/>
                </a:ext>
              </a:extLst>
            </xdr:cNvPr>
            <xdr:cNvSpPr txBox="1"/>
          </xdr:nvSpPr>
          <xdr:spPr>
            <a:xfrm>
              <a:off x="1813373" y="2583346"/>
              <a:ext cx="2012156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lang="LID4096" sz="110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LID4096" sz="1100">
                          <a:latin typeface="Cambria Math" panose="02040503050406030204" pitchFamily="18" charset="0"/>
                        </a:rPr>
                        <m:t>ln</m:t>
                      </m:r>
                    </m:fName>
                    <m:e>
                      <m:d>
                        <m:dPr>
                          <m:ctrlPr>
                            <a:rPr lang="LID4096" sz="1100" i="1">
                              <a:solidFill>
                                <a:srgbClr val="836967"/>
                              </a:solidFill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LID4096" sz="1100" i="1">
                                  <a:solidFill>
                                    <a:srgbClr val="836967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sSub>
                                <m:sSubPr>
                                  <m:ctrlPr>
                                    <a:rPr lang="LID4096" sz="1100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LID4096" sz="1100" i="1">
                                      <a:latin typeface="Cambria Math" panose="02040503050406030204" pitchFamily="18" charset="0"/>
                                    </a:rPr>
                                    <m:t>𝜃</m:t>
                                  </m:r>
                                </m:e>
                                <m:sub>
                                  <m:r>
                                    <a:rPr lang="LID4096" sz="1100" i="1">
                                      <a:latin typeface="Cambria Math" panose="02040503050406030204" pitchFamily="18" charset="0"/>
                                    </a:rPr>
                                    <m:t>𝑖</m:t>
                                  </m:r>
                                </m:sub>
                              </m:sSub>
                            </m:num>
                            <m:den>
                              <m:sSub>
                                <m:sSubPr>
                                  <m:ctrlPr>
                                    <a:rPr lang="LID4096" sz="1100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LID4096" sz="1100" i="1">
                                      <a:latin typeface="Cambria Math" panose="02040503050406030204" pitchFamily="18" charset="0"/>
                                    </a:rPr>
                                    <m:t>𝜃</m:t>
                                  </m:r>
                                </m:e>
                                <m:sub>
                                  <m:d>
                                    <m:dPr>
                                      <m:ctrlPr>
                                        <a:rPr lang="LID4096" sz="1100" i="1">
                                          <a:solidFill>
                                            <a:srgbClr val="836967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</m:ctrlPr>
                                    </m:dPr>
                                    <m:e>
                                      <m:r>
                                        <a:rPr lang="LID4096" sz="1100" i="1">
                                          <a:latin typeface="Cambria Math" panose="02040503050406030204" pitchFamily="18" charset="0"/>
                                        </a:rPr>
                                        <m:t>𝑖</m:t>
                                      </m:r>
                                      <m:r>
                                        <a:rPr lang="LID4096" sz="1100" i="0">
                                          <a:latin typeface="Cambria Math" panose="02040503050406030204" pitchFamily="18" charset="0"/>
                                        </a:rPr>
                                        <m:t>+5</m:t>
                                      </m:r>
                                    </m:e>
                                  </m:d>
                                </m:sub>
                              </m:sSub>
                            </m:den>
                          </m:f>
                        </m:e>
                      </m:d>
                    </m:e>
                  </m:func>
                </m:oMath>
              </a14:m>
              <a:r>
                <a:rPr lang="zh-CN" altLang="en-US" sz="1100"/>
                <a:t>的平均值</a:t>
              </a:r>
              <a:endParaRPr lang="LID4096" sz="11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52A3DC84-30C4-D5FA-AC9A-D36562097EA6}"/>
                </a:ext>
              </a:extLst>
            </xdr:cNvPr>
            <xdr:cNvSpPr txBox="1"/>
          </xdr:nvSpPr>
          <xdr:spPr>
            <a:xfrm>
              <a:off x="1813373" y="2583346"/>
              <a:ext cx="2012156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LID4096" sz="1100" i="0">
                  <a:latin typeface="Cambria Math" panose="02040503050406030204" pitchFamily="18" charset="0"/>
                </a:rPr>
                <a:t>ln⁡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LID4096" sz="1100" i="0">
                  <a:latin typeface="Cambria Math" panose="02040503050406030204" pitchFamily="18" charset="0"/>
                </a:rPr>
                <a:t>𝜃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ID4096" sz="1100" i="0">
                  <a:latin typeface="Cambria Math" panose="02040503050406030204" pitchFamily="18" charset="0"/>
                </a:rPr>
                <a:t>𝑖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LID4096" sz="1100" i="0">
                  <a:latin typeface="Cambria Math" panose="02040503050406030204" pitchFamily="18" charset="0"/>
                </a:rPr>
                <a:t>𝜃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LID4096" sz="1100" i="0">
                  <a:latin typeface="Cambria Math" panose="02040503050406030204" pitchFamily="18" charset="0"/>
                </a:rPr>
                <a:t>𝑖+5) 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)</a:t>
              </a:r>
              <a:r>
                <a:rPr lang="zh-CN" altLang="en-US" sz="1100"/>
                <a:t>的平均值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4</xdr:col>
      <xdr:colOff>128587</xdr:colOff>
      <xdr:row>3</xdr:row>
      <xdr:rowOff>214312</xdr:rowOff>
    </xdr:from>
    <xdr:ext cx="2012156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3F3EB670-A3E3-4077-B8B9-4A59F81608B7}"/>
                </a:ext>
              </a:extLst>
            </xdr:cNvPr>
            <xdr:cNvSpPr txBox="1"/>
          </xdr:nvSpPr>
          <xdr:spPr>
            <a:xfrm>
              <a:off x="3157537" y="971550"/>
              <a:ext cx="2012156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LID4096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LID4096" sz="110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LID4096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LID4096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LID4096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LID4096" sz="1100" i="1">
                                        <a:latin typeface="Cambria Math" panose="02040503050406030204" pitchFamily="18" charset="0"/>
                                      </a:rPr>
                                      <m:t>𝜃</m:t>
                                    </m:r>
                                  </m:e>
                                  <m:sub>
                                    <m:r>
                                      <a:rPr lang="LID4096" sz="11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LID4096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LID4096" sz="1100" i="1">
                                        <a:latin typeface="Cambria Math" panose="02040503050406030204" pitchFamily="18" charset="0"/>
                                      </a:rPr>
                                      <m:t>𝜃</m:t>
                                    </m:r>
                                  </m:e>
                                  <m:sub>
                                    <m:d>
                                      <m:dPr>
                                        <m:ctrlPr>
                                          <a:rPr lang="LID4096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LID4096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  <m:r>
                                          <a:rPr lang="LID4096" sz="1100" i="0">
                                            <a:latin typeface="Cambria Math" panose="02040503050406030204" pitchFamily="18" charset="0"/>
                                          </a:rPr>
                                          <m:t>+5</m:t>
                                        </m:r>
                                      </m:e>
                                    </m:d>
                                  </m:sub>
                                </m:sSub>
                              </m:den>
                            </m:f>
                          </m:e>
                        </m:d>
                      </m:e>
                    </m:func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3F3EB670-A3E3-4077-B8B9-4A59F81608B7}"/>
                </a:ext>
              </a:extLst>
            </xdr:cNvPr>
            <xdr:cNvSpPr txBox="1"/>
          </xdr:nvSpPr>
          <xdr:spPr>
            <a:xfrm>
              <a:off x="3157537" y="971550"/>
              <a:ext cx="2012156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LID4096" sz="1100" i="0">
                  <a:latin typeface="Cambria Math" panose="02040503050406030204" pitchFamily="18" charset="0"/>
                </a:rPr>
                <a:t>ln⁡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LID4096" sz="1100" i="0">
                  <a:latin typeface="Cambria Math" panose="02040503050406030204" pitchFamily="18" charset="0"/>
                </a:rPr>
                <a:t>𝜃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ID4096" sz="1100" i="0">
                  <a:latin typeface="Cambria Math" panose="02040503050406030204" pitchFamily="18" charset="0"/>
                </a:rPr>
                <a:t>𝑖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LID4096" sz="1100" i="0">
                  <a:latin typeface="Cambria Math" panose="02040503050406030204" pitchFamily="18" charset="0"/>
                </a:rPr>
                <a:t>𝜃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_((</a:t>
              </a:r>
              <a:r>
                <a:rPr lang="LID4096" sz="1100" i="0">
                  <a:latin typeface="Cambria Math" panose="02040503050406030204" pitchFamily="18" charset="0"/>
                </a:rPr>
                <a:t>𝑖+5) 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)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3</xdr:col>
      <xdr:colOff>317222</xdr:colOff>
      <xdr:row>13</xdr:row>
      <xdr:rowOff>45554</xdr:rowOff>
    </xdr:from>
    <xdr:ext cx="15074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22D17F32-1BE1-05F2-E2FD-089C4D4D721F}"/>
                </a:ext>
              </a:extLst>
            </xdr:cNvPr>
            <xdr:cNvSpPr txBox="1"/>
          </xdr:nvSpPr>
          <xdr:spPr>
            <a:xfrm>
              <a:off x="2590799" y="3329609"/>
              <a:ext cx="15074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LID4096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LID4096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acc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22D17F32-1BE1-05F2-E2FD-089C4D4D721F}"/>
                </a:ext>
              </a:extLst>
            </xdr:cNvPr>
            <xdr:cNvSpPr txBox="1"/>
          </xdr:nvSpPr>
          <xdr:spPr>
            <a:xfrm>
              <a:off x="2590799" y="3329609"/>
              <a:ext cx="15074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LID4096" sz="1100" i="0">
                  <a:latin typeface="Cambria Math" panose="02040503050406030204" pitchFamily="18" charset="0"/>
                </a:rPr>
                <a:t>𝑇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5</xdr:col>
      <xdr:colOff>217831</xdr:colOff>
      <xdr:row>13</xdr:row>
      <xdr:rowOff>48038</xdr:rowOff>
    </xdr:from>
    <xdr:ext cx="411844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20ACB345-480D-474F-25EC-5CDCE80826B5}"/>
                </a:ext>
              </a:extLst>
            </xdr:cNvPr>
            <xdr:cNvSpPr txBox="1"/>
          </xdr:nvSpPr>
          <xdr:spPr>
            <a:xfrm>
              <a:off x="3249266" y="3332093"/>
              <a:ext cx="411844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LID4096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LID4096" sz="1100" i="1">
                            <a:latin typeface="Cambria Math" panose="02040503050406030204" pitchFamily="18" charset="0"/>
                          </a:rPr>
                          <m:t>𝛽</m:t>
                        </m:r>
                      </m:num>
                      <m:den>
                        <m:sSup>
                          <m:sSupPr>
                            <m:ctrlPr>
                              <a:rPr lang="LID4096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LID4096" sz="110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LID4096" sz="11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20ACB345-480D-474F-25EC-5CDCE80826B5}"/>
                </a:ext>
              </a:extLst>
            </xdr:cNvPr>
            <xdr:cNvSpPr txBox="1"/>
          </xdr:nvSpPr>
          <xdr:spPr>
            <a:xfrm>
              <a:off x="3249266" y="3332093"/>
              <a:ext cx="411844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LID4096" sz="1100" i="0">
                  <a:latin typeface="Cambria Math" panose="02040503050406030204" pitchFamily="18" charset="0"/>
                </a:rPr>
                <a:t>𝛽∕𝑠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LID4096" sz="1100" i="0">
                  <a:latin typeface="Cambria Math" panose="02040503050406030204" pitchFamily="18" charset="0"/>
                </a:rPr>
                <a:t>−1</a:t>
              </a:r>
              <a:r>
                <a:rPr lang="LID4096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</a:t>
              </a:r>
              <a:endParaRPr lang="LID4096" sz="1100"/>
            </a:p>
          </xdr:txBody>
        </xdr:sp>
      </mc:Fallback>
    </mc:AlternateContent>
    <xdr:clientData/>
  </xdr:oneCellAnchor>
  <xdr:twoCellAnchor>
    <xdr:from>
      <xdr:col>8</xdr:col>
      <xdr:colOff>3402</xdr:colOff>
      <xdr:row>1</xdr:row>
      <xdr:rowOff>91162</xdr:rowOff>
    </xdr:from>
    <xdr:to>
      <xdr:col>13</xdr:col>
      <xdr:colOff>489857</xdr:colOff>
      <xdr:row>14</xdr:row>
      <xdr:rowOff>251731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4BE88A0-9FA5-CCFC-79AC-B93E8E8D6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251730</xdr:rowOff>
    </xdr:from>
    <xdr:to>
      <xdr:col>13</xdr:col>
      <xdr:colOff>496660</xdr:colOff>
      <xdr:row>30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FE1FB11E-EA2C-4D81-AA60-C1EEFCCA1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7" zoomScale="115" zoomScaleNormal="115" workbookViewId="0">
      <selection activeCell="F19" sqref="F19"/>
    </sheetView>
  </sheetViews>
  <sheetFormatPr defaultRowHeight="13.9" x14ac:dyDescent="0.4"/>
  <cols>
    <col min="1" max="16" width="10.59765625" customWidth="1"/>
  </cols>
  <sheetData>
    <row r="1" spans="1:7" ht="20" customHeight="1" x14ac:dyDescent="0.4">
      <c r="A1" s="1"/>
      <c r="B1" s="37" t="s">
        <v>0</v>
      </c>
      <c r="C1" s="37"/>
      <c r="D1" s="37"/>
      <c r="E1" s="37"/>
      <c r="F1" s="37"/>
    </row>
    <row r="2" spans="1:7" ht="20" customHeight="1" x14ac:dyDescent="0.4">
      <c r="A2" s="2"/>
      <c r="B2" s="37" t="s">
        <v>1</v>
      </c>
      <c r="C2" s="37"/>
      <c r="D2" s="37"/>
      <c r="E2" s="37"/>
      <c r="F2" s="38"/>
      <c r="G2" s="3"/>
    </row>
    <row r="3" spans="1:7" ht="20" customHeight="1" thickBot="1" x14ac:dyDescent="0.45"/>
    <row r="4" spans="1:7" ht="20" customHeight="1" thickBot="1" x14ac:dyDescent="0.45">
      <c r="B4" s="39" t="s">
        <v>2</v>
      </c>
      <c r="C4" s="40"/>
      <c r="D4" s="40"/>
      <c r="E4" s="40"/>
      <c r="F4" s="41"/>
    </row>
    <row r="5" spans="1:7" ht="20" customHeight="1" x14ac:dyDescent="0.4">
      <c r="B5" s="31" t="s">
        <v>3</v>
      </c>
      <c r="C5" s="32" t="s">
        <v>9</v>
      </c>
      <c r="D5" s="31" t="s">
        <v>3</v>
      </c>
      <c r="E5" s="32" t="s">
        <v>9</v>
      </c>
      <c r="F5" s="33"/>
    </row>
    <row r="6" spans="1:7" ht="20" customHeight="1" x14ac:dyDescent="0.4">
      <c r="B6" s="4" t="s">
        <v>4</v>
      </c>
      <c r="C6" s="5">
        <v>142</v>
      </c>
      <c r="D6" s="4" t="s">
        <v>10</v>
      </c>
      <c r="E6" s="5">
        <v>78</v>
      </c>
      <c r="F6" s="6">
        <f>LN(C6/E6)</f>
        <v>0.59911823091166894</v>
      </c>
    </row>
    <row r="7" spans="1:7" ht="20" customHeight="1" x14ac:dyDescent="0.4">
      <c r="B7" s="4" t="s">
        <v>5</v>
      </c>
      <c r="C7" s="5">
        <v>126</v>
      </c>
      <c r="D7" s="4" t="s">
        <v>14</v>
      </c>
      <c r="E7" s="5">
        <v>69</v>
      </c>
      <c r="F7" s="6">
        <f>LN(C7/E7)</f>
        <v>0.60217540235421851</v>
      </c>
    </row>
    <row r="8" spans="1:7" ht="20" customHeight="1" x14ac:dyDescent="0.4">
      <c r="B8" s="4" t="s">
        <v>6</v>
      </c>
      <c r="C8" s="5">
        <v>112</v>
      </c>
      <c r="D8" s="4" t="s">
        <v>13</v>
      </c>
      <c r="E8" s="5">
        <v>61</v>
      </c>
      <c r="F8" s="6">
        <f>LN(C8/E8)</f>
        <v>0.60762500712178336</v>
      </c>
    </row>
    <row r="9" spans="1:7" ht="20" customHeight="1" x14ac:dyDescent="0.4">
      <c r="B9" s="4" t="s">
        <v>7</v>
      </c>
      <c r="C9" s="5">
        <v>99</v>
      </c>
      <c r="D9" s="4" t="s">
        <v>12</v>
      </c>
      <c r="E9" s="5">
        <v>54</v>
      </c>
      <c r="F9" s="6">
        <f>LN(C9/E9)</f>
        <v>0.60613580357031549</v>
      </c>
    </row>
    <row r="10" spans="1:7" ht="20" customHeight="1" thickBot="1" x14ac:dyDescent="0.45">
      <c r="B10" s="7" t="s">
        <v>8</v>
      </c>
      <c r="C10" s="8">
        <v>88</v>
      </c>
      <c r="D10" s="4" t="s">
        <v>11</v>
      </c>
      <c r="E10" s="8">
        <v>48</v>
      </c>
      <c r="F10" s="9">
        <f>LN(C10/E10)</f>
        <v>0.60613580357031549</v>
      </c>
    </row>
    <row r="11" spans="1:7" ht="20" customHeight="1" x14ac:dyDescent="0.4">
      <c r="B11" s="42"/>
      <c r="C11" s="43"/>
      <c r="D11" s="43"/>
      <c r="E11" s="44"/>
      <c r="F11" s="48">
        <f>AVERAGE(F6, F7, F8, F9, F10)</f>
        <v>0.60423804950566029</v>
      </c>
    </row>
    <row r="12" spans="1:7" ht="20" customHeight="1" thickBot="1" x14ac:dyDescent="0.45">
      <c r="B12" s="45"/>
      <c r="C12" s="46"/>
      <c r="D12" s="46"/>
      <c r="E12" s="47"/>
      <c r="F12" s="49"/>
    </row>
    <row r="13" spans="1:7" ht="20" customHeight="1" thickBot="1" x14ac:dyDescent="0.45"/>
    <row r="14" spans="1:7" ht="20" customHeight="1" thickBot="1" x14ac:dyDescent="0.45">
      <c r="B14" s="10" t="s">
        <v>15</v>
      </c>
      <c r="C14" s="11">
        <v>15.632</v>
      </c>
      <c r="D14" s="12"/>
      <c r="E14" s="13">
        <f>C14/10</f>
        <v>1.5631999999999999</v>
      </c>
      <c r="F14" s="14"/>
      <c r="G14" s="15">
        <f>AVERAGE(F6, F7, F8, F9, F10)/(5*E14)</f>
        <v>7.7307836426005666E-2</v>
      </c>
    </row>
    <row r="15" spans="1:7" ht="20" customHeight="1" x14ac:dyDescent="0.4"/>
    <row r="16" spans="1:7" ht="20" customHeight="1" thickBot="1" x14ac:dyDescent="0.45"/>
    <row r="17" spans="2:7" ht="20" customHeight="1" thickBot="1" x14ac:dyDescent="0.45">
      <c r="B17" s="34" t="s">
        <v>16</v>
      </c>
      <c r="C17" s="35"/>
      <c r="D17" s="35"/>
      <c r="E17" s="35"/>
      <c r="F17" s="35"/>
      <c r="G17" s="36"/>
    </row>
    <row r="18" spans="2:7" ht="20" customHeight="1" thickBot="1" x14ac:dyDescent="0.45">
      <c r="B18" s="27" t="s">
        <v>17</v>
      </c>
      <c r="C18" s="28" t="s">
        <v>18</v>
      </c>
      <c r="D18" s="29" t="s">
        <v>19</v>
      </c>
      <c r="E18" s="29" t="s">
        <v>20</v>
      </c>
      <c r="F18" s="28" t="s">
        <v>21</v>
      </c>
      <c r="G18" s="30" t="s">
        <v>22</v>
      </c>
    </row>
    <row r="19" spans="2:7" ht="20" customHeight="1" x14ac:dyDescent="0.4">
      <c r="B19" s="23">
        <v>2.5</v>
      </c>
      <c r="C19" s="24">
        <v>1.5132000000000001</v>
      </c>
      <c r="D19" s="24">
        <v>150</v>
      </c>
      <c r="E19" s="24">
        <v>57</v>
      </c>
      <c r="F19" s="25">
        <v>1.5640000000000001</v>
      </c>
      <c r="G19" s="26">
        <f t="shared" ref="G19:G30" si="0">2*3.1415926535/C19</f>
        <v>4.1522504011366639</v>
      </c>
    </row>
    <row r="20" spans="2:7" ht="20" customHeight="1" x14ac:dyDescent="0.4">
      <c r="B20" s="17">
        <v>3</v>
      </c>
      <c r="C20" s="5">
        <v>1.5222</v>
      </c>
      <c r="D20" s="5">
        <v>145</v>
      </c>
      <c r="E20" s="5">
        <v>67</v>
      </c>
      <c r="F20" s="16">
        <v>1.5640000000000001</v>
      </c>
      <c r="G20" s="6">
        <f t="shared" si="0"/>
        <v>4.1277002410984105</v>
      </c>
    </row>
    <row r="21" spans="2:7" ht="20" customHeight="1" x14ac:dyDescent="0.4">
      <c r="B21" s="17">
        <v>3.5</v>
      </c>
      <c r="C21" s="5">
        <v>1.5305</v>
      </c>
      <c r="D21" s="5">
        <v>138</v>
      </c>
      <c r="E21" s="5">
        <v>78</v>
      </c>
      <c r="F21" s="16">
        <v>1.5629999999999999</v>
      </c>
      <c r="G21" s="6">
        <f t="shared" si="0"/>
        <v>4.1053154570401835</v>
      </c>
    </row>
    <row r="22" spans="2:7" ht="20" customHeight="1" x14ac:dyDescent="0.4">
      <c r="B22" s="17">
        <v>4</v>
      </c>
      <c r="C22" s="5">
        <v>1.5391999999999999</v>
      </c>
      <c r="D22" s="5">
        <v>129</v>
      </c>
      <c r="E22" s="5">
        <v>92</v>
      </c>
      <c r="F22" s="16">
        <v>1.5620000000000001</v>
      </c>
      <c r="G22" s="6">
        <f t="shared" si="0"/>
        <v>4.0821110362525994</v>
      </c>
    </row>
    <row r="23" spans="2:7" ht="20" customHeight="1" x14ac:dyDescent="0.4">
      <c r="B23" s="17">
        <v>4.5</v>
      </c>
      <c r="C23" s="5">
        <v>1.5479000000000001</v>
      </c>
      <c r="D23" s="5">
        <v>116</v>
      </c>
      <c r="E23" s="5">
        <v>108</v>
      </c>
      <c r="F23" s="16">
        <v>1.5620000000000001</v>
      </c>
      <c r="G23" s="6">
        <f t="shared" si="0"/>
        <v>4.0591674572000773</v>
      </c>
    </row>
    <row r="24" spans="2:7" ht="20" customHeight="1" x14ac:dyDescent="0.4">
      <c r="B24" s="17">
        <v>5</v>
      </c>
      <c r="C24" s="5">
        <v>1.5564</v>
      </c>
      <c r="D24" s="5">
        <v>100</v>
      </c>
      <c r="E24" s="5">
        <v>119</v>
      </c>
      <c r="F24" s="16">
        <v>1.5609999999999999</v>
      </c>
      <c r="G24" s="6">
        <f t="shared" si="0"/>
        <v>4.0369990407350294</v>
      </c>
    </row>
    <row r="25" spans="2:7" ht="20" customHeight="1" x14ac:dyDescent="0.4">
      <c r="B25" s="18">
        <v>5.5</v>
      </c>
      <c r="C25" s="5">
        <v>1.5651999999999999</v>
      </c>
      <c r="D25" s="5">
        <v>83</v>
      </c>
      <c r="E25" s="5">
        <v>120</v>
      </c>
      <c r="F25" s="16">
        <v>1.5609999999999999</v>
      </c>
      <c r="G25" s="6">
        <f t="shared" si="0"/>
        <v>4.0143018828264765</v>
      </c>
    </row>
    <row r="26" spans="2:7" ht="20" customHeight="1" x14ac:dyDescent="0.4">
      <c r="B26" s="18">
        <v>6</v>
      </c>
      <c r="C26" s="5">
        <v>1.5738000000000001</v>
      </c>
      <c r="D26" s="5">
        <v>67</v>
      </c>
      <c r="E26" s="5">
        <v>113</v>
      </c>
      <c r="F26" s="16">
        <v>1.5609999999999999</v>
      </c>
      <c r="G26" s="6">
        <f t="shared" si="0"/>
        <v>3.992365806964036</v>
      </c>
    </row>
    <row r="27" spans="2:7" ht="20" customHeight="1" x14ac:dyDescent="0.4">
      <c r="B27" s="18">
        <v>6.5</v>
      </c>
      <c r="C27" s="5">
        <v>1.5825</v>
      </c>
      <c r="D27" s="5">
        <v>56</v>
      </c>
      <c r="E27" s="5">
        <v>101</v>
      </c>
      <c r="F27" s="16">
        <v>1.5620000000000001</v>
      </c>
      <c r="G27" s="6">
        <f t="shared" si="0"/>
        <v>3.9704172556082149</v>
      </c>
    </row>
    <row r="28" spans="2:7" ht="20" customHeight="1" x14ac:dyDescent="0.4">
      <c r="B28" s="18">
        <v>7</v>
      </c>
      <c r="C28" s="5">
        <v>1.5911999999999999</v>
      </c>
      <c r="D28" s="5">
        <v>47</v>
      </c>
      <c r="E28" s="5">
        <v>88</v>
      </c>
      <c r="F28" s="16">
        <v>1.5629999999999999</v>
      </c>
      <c r="G28" s="6">
        <f t="shared" si="0"/>
        <v>3.9487087148064357</v>
      </c>
    </row>
    <row r="29" spans="2:7" ht="20" customHeight="1" x14ac:dyDescent="0.4">
      <c r="B29" s="18">
        <v>7.5</v>
      </c>
      <c r="C29" s="5">
        <v>1.6002000000000001</v>
      </c>
      <c r="D29" s="5">
        <v>41</v>
      </c>
      <c r="E29" s="5">
        <v>77</v>
      </c>
      <c r="F29" s="16">
        <v>1.5629999999999999</v>
      </c>
      <c r="G29" s="6">
        <f t="shared" si="0"/>
        <v>3.9265000043744531</v>
      </c>
    </row>
    <row r="30" spans="2:7" ht="20" customHeight="1" thickBot="1" x14ac:dyDescent="0.45">
      <c r="B30" s="19">
        <v>8</v>
      </c>
      <c r="C30" s="20">
        <v>1.6088</v>
      </c>
      <c r="D30" s="20">
        <v>34</v>
      </c>
      <c r="E30" s="20">
        <v>69</v>
      </c>
      <c r="F30" s="21">
        <v>1.5640000000000001</v>
      </c>
      <c r="G30" s="22">
        <f t="shared" si="0"/>
        <v>3.905510509075087</v>
      </c>
    </row>
    <row r="31" spans="2:7" ht="20" customHeight="1" x14ac:dyDescent="0.4"/>
  </sheetData>
  <mergeCells count="6">
    <mergeCell ref="B17:G17"/>
    <mergeCell ref="B1:F1"/>
    <mergeCell ref="B2:F2"/>
    <mergeCell ref="B4:F4"/>
    <mergeCell ref="B11:E12"/>
    <mergeCell ref="F11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Lucas Chen</dc:creator>
  <cp:lastModifiedBy>W. Lucas Chen</cp:lastModifiedBy>
  <dcterms:created xsi:type="dcterms:W3CDTF">2015-06-05T18:19:34Z</dcterms:created>
  <dcterms:modified xsi:type="dcterms:W3CDTF">2025-10-25T13:44:50Z</dcterms:modified>
  <cp:contentStatus>最终状态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